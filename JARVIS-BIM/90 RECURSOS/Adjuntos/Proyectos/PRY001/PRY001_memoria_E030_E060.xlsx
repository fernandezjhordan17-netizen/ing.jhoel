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esos E.020" sheetId="2" state="visible" r:id="rId2"/>
    <sheet name="Sismo X" sheetId="3" state="visible" r:id="rId3"/>
    <sheet name="Sismo Y" sheetId="4" state="visible" r:id="rId4"/>
    <sheet name="Espectros" sheetId="5" state="visible" r:id="rId5"/>
    <sheet name="Combinaciones E.060" sheetId="6" state="visible" r:id="rId6"/>
    <sheet name="Vigas E.060" sheetId="7" state="visible" r:id="rId7"/>
    <sheet name="Columnas E.0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Espectro de diseño E.030-2026</a:t>
            </a:r>
          </a:p>
        </rich>
      </tx>
    </title>
    <plotArea>
      <scatterChart>
        <ser>
          <idx val="0"/>
          <order val="0"/>
          <tx>
            <strRef>
              <f>'Espectros'!B1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'Espectros'!$A$2:$A$124</f>
            </numRef>
          </xVal>
          <yVal>
            <numRef>
              <f>'Espectros'!$B$2:$B$124</f>
            </numRef>
          </yVal>
        </ser>
        <ser>
          <idx val="1"/>
          <order val="1"/>
          <tx>
            <strRef>
              <f>'Espectros'!C1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'Espectros'!$A$2:$A$124</f>
            </numRef>
          </xVal>
          <yVal>
            <numRef>
              <f>'Espectros'!$C$2:$C$124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Sa/g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Memoria de cálculo (borrador JARVIS) — PRY001 Edificio multifamiliar 5 pisos (ejemplo)</t>
        </is>
      </c>
    </row>
    <row r="2">
      <c r="A2" t="inlineStr">
        <is>
          <t>Debe ser revisada y firmada por el ingeniero responsable. Datos marcados 'supuesto' deben reemplazarse.</t>
        </is>
      </c>
    </row>
    <row r="4">
      <c r="A4" t="inlineStr">
        <is>
          <t>Cliente</t>
        </is>
      </c>
      <c r="B4" t="inlineStr">
        <is>
          <t>Ejemplo JARVIS (datos supuestos)</t>
        </is>
      </c>
    </row>
    <row r="5">
      <c r="A5" t="inlineStr">
        <is>
          <t>Ubicacion</t>
        </is>
      </c>
      <c r="B5" t="inlineStr">
        <is>
          <t>Lima, Lima - verificar zona en el Anexo II de la E.030-2026</t>
        </is>
      </c>
    </row>
    <row r="6">
      <c r="A6" t="inlineStr">
        <is>
          <t>Tipologia</t>
        </is>
      </c>
      <c r="B6" t="inlineStr">
        <is>
          <t>Vivienda multifamiliar</t>
        </is>
      </c>
    </row>
    <row r="7">
      <c r="A7" t="inlineStr">
        <is>
          <t>Fase</t>
        </is>
      </c>
      <c r="B7" t="inlineStr">
        <is>
          <t>expediente</t>
        </is>
      </c>
    </row>
    <row r="8">
      <c r="A8" t="inlineStr">
        <is>
          <t>Normas</t>
        </is>
      </c>
      <c r="B8" t="inlineStr">
        <is>
          <t>E.020 Cargas (RNE); E.030-2026 (RM 183-2026-VIVIENDA); E.060-2009 (DS 010-2009-VIVIENDA)</t>
        </is>
      </c>
    </row>
    <row r="9">
      <c r="A9" t="inlineStr">
        <is>
          <t>Generado</t>
        </is>
      </c>
      <c r="B9" t="inlineStr">
        <is>
          <t>2026-09-25 03:44</t>
        </is>
      </c>
    </row>
    <row r="11">
      <c r="A11" s="2" t="inlineStr">
        <is>
          <t>Dirección</t>
        </is>
      </c>
      <c r="B11" s="2" t="inlineStr">
        <is>
          <t>Sistema</t>
        </is>
      </c>
      <c r="C11" s="2" t="inlineStr">
        <is>
          <t>R0</t>
        </is>
      </c>
      <c r="D11" s="2" t="inlineStr">
        <is>
          <t>Ia</t>
        </is>
      </c>
      <c r="E11" s="2" t="inlineStr">
        <is>
          <t>Ip</t>
        </is>
      </c>
      <c r="F11" s="2" t="inlineStr">
        <is>
          <t>R</t>
        </is>
      </c>
      <c r="G11" s="2" t="inlineStr">
        <is>
          <t>T (s)</t>
        </is>
      </c>
      <c r="H11" s="2" t="inlineStr">
        <is>
          <t>C</t>
        </is>
      </c>
      <c r="I11" s="2" t="inlineStr">
        <is>
          <t>C/R</t>
        </is>
      </c>
      <c r="J11" s="2" t="inlineStr">
        <is>
          <t>V (kN)</t>
        </is>
      </c>
      <c r="K11" s="2" t="inlineStr">
        <is>
          <t>V/P</t>
        </is>
      </c>
      <c r="L11" s="2" t="inlineStr">
        <is>
          <t>V mín. dinámica (kN)</t>
        </is>
      </c>
    </row>
    <row r="12">
      <c r="A12" t="inlineStr">
        <is>
          <t>X</t>
        </is>
      </c>
      <c r="B12" t="inlineStr">
        <is>
          <t>Concreto armado – dual</t>
        </is>
      </c>
      <c r="C12" t="n">
        <v>7</v>
      </c>
      <c r="D12" t="n">
        <v>1</v>
      </c>
      <c r="E12" t="n">
        <v>1</v>
      </c>
      <c r="F12" t="n">
        <v>7</v>
      </c>
      <c r="G12" t="n">
        <v>0.225</v>
      </c>
      <c r="H12" t="n">
        <v>2.5</v>
      </c>
      <c r="I12" t="n">
        <v>0.3571</v>
      </c>
      <c r="J12" t="n">
        <v>1952.944</v>
      </c>
      <c r="K12" t="n">
        <v>0.17116</v>
      </c>
      <c r="L12" t="n">
        <v>1562.36</v>
      </c>
    </row>
    <row r="13">
      <c r="A13" t="inlineStr">
        <is>
          <t>Y</t>
        </is>
      </c>
      <c r="B13" t="inlineStr">
        <is>
          <t>Concreto armado – muros estructurales</t>
        </is>
      </c>
      <c r="C13" t="n">
        <v>6</v>
      </c>
      <c r="D13" t="n">
        <v>1</v>
      </c>
      <c r="E13" t="n">
        <v>1</v>
      </c>
      <c r="F13" t="n">
        <v>6</v>
      </c>
      <c r="G13" t="n">
        <v>0.225</v>
      </c>
      <c r="H13" t="n">
        <v>2.5</v>
      </c>
      <c r="I13" t="n">
        <v>0.4167</v>
      </c>
      <c r="J13" t="n">
        <v>2278.434</v>
      </c>
      <c r="K13" t="n">
        <v>0.19969</v>
      </c>
      <c r="L13" t="n">
        <v>1822.75</v>
      </c>
    </row>
    <row r="15">
      <c r="A15" s="3" t="inlineStr">
        <is>
          <t>Alertas</t>
        </is>
      </c>
    </row>
    <row r="16">
      <c r="A16" t="inlineStr">
        <is>
          <t>Ninguna.</t>
        </is>
      </c>
    </row>
    <row r="17">
      <c r="A17" s="3" t="inlineStr">
        <is>
          <t>Pendientes normativos</t>
        </is>
      </c>
    </row>
    <row r="18">
      <c r="A18" t="inlineStr">
        <is>
          <t>Expresión de C para T &gt; TP tomada de ediciones previas (2,5·TP/T y 2,5·TP·TL/T²); confirmar en Tabla N.° 6 del PDF 2026.</t>
        </is>
      </c>
    </row>
    <row r="19">
      <c r="A19" t="inlineStr">
        <is>
          <t>Factores 0,75·R (regular) y 0,85·R (irregular) de la edición 2019; confirmar en el PDF 2026.</t>
        </is>
      </c>
    </row>
    <row r="20">
      <c r="A20" t="inlineStr">
        <is>
          <t>Límites de distorsión de la edición 2019 (en 2026 es la Tabla N.° 14); confirmar valores en el PDF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 = CM + 25 % CV (categoría C); azotea 25 % CV (E.030 art. 31)</t>
        </is>
      </c>
    </row>
    <row r="2">
      <c r="A2" s="2" t="inlineStr">
        <is>
          <t>Nivel</t>
        </is>
      </c>
      <c r="B2" s="2" t="inlineStr">
        <is>
          <t>h acum. (m)</t>
        </is>
      </c>
      <c r="C2" s="2" t="inlineStr">
        <is>
          <t>Área (m²)</t>
        </is>
      </c>
      <c r="D2" s="2" t="inlineStr">
        <is>
          <t>CM (kPa)</t>
        </is>
      </c>
      <c r="E2" s="2" t="inlineStr">
        <is>
          <t>CV (kPa)</t>
        </is>
      </c>
      <c r="F2" s="2" t="inlineStr">
        <is>
          <t>CM (kN)</t>
        </is>
      </c>
      <c r="G2" s="2" t="inlineStr">
        <is>
          <t>CV (kN)</t>
        </is>
      </c>
      <c r="H2" s="2" t="inlineStr">
        <is>
          <t>% CV</t>
        </is>
      </c>
      <c r="I2" s="2" t="inlineStr">
        <is>
          <t>P (kN)</t>
        </is>
      </c>
      <c r="J2" s="2" t="inlineStr">
        <is>
          <t>Fuentes</t>
        </is>
      </c>
    </row>
    <row r="3">
      <c r="A3" t="inlineStr">
        <is>
          <t>Piso 1</t>
        </is>
      </c>
      <c r="B3" t="n">
        <v>2.7</v>
      </c>
      <c r="C3" t="n">
        <v>280</v>
      </c>
      <c r="D3" t="n">
        <v>8</v>
      </c>
      <c r="E3" t="n">
        <v>2</v>
      </c>
      <c r="F3" t="n">
        <v>2240</v>
      </c>
      <c r="G3" t="n">
        <v>560</v>
      </c>
      <c r="H3" t="n">
        <v>0.25</v>
      </c>
      <c r="I3" t="n">
        <v>2380</v>
      </c>
      <c r="J3" t="inlineStr">
        <is>
          <t>aligerado: E.020, Anexo 1 (losas aligeradas en una dirección); acabados: supuesto del proyecto (revisar); tabiqueria: supuesto del proyecto (revisar); estructura: supuesto del proyecto (revisar); CV: E.020, art. 6.1, Tabla 1 (vivienda)</t>
        </is>
      </c>
    </row>
    <row r="4">
      <c r="A4" t="inlineStr">
        <is>
          <t>Piso 2</t>
        </is>
      </c>
      <c r="B4" t="n">
        <v>5.4</v>
      </c>
      <c r="C4" t="n">
        <v>280</v>
      </c>
      <c r="D4" t="n">
        <v>8</v>
      </c>
      <c r="E4" t="n">
        <v>2</v>
      </c>
      <c r="F4" t="n">
        <v>2240</v>
      </c>
      <c r="G4" t="n">
        <v>560</v>
      </c>
      <c r="H4" t="n">
        <v>0.25</v>
      </c>
      <c r="I4" t="n">
        <v>2380</v>
      </c>
      <c r="J4" t="inlineStr">
        <is>
          <t>aligerado: E.020, Anexo 1 (losas aligeradas en una dirección); acabados: supuesto del proyecto (revisar); tabiqueria: supuesto del proyecto (revisar); estructura: supuesto del proyecto (revisar); CV: E.020, art. 6.1, Tabla 1 (vivienda)</t>
        </is>
      </c>
    </row>
    <row r="5">
      <c r="A5" t="inlineStr">
        <is>
          <t>Piso 3</t>
        </is>
      </c>
      <c r="B5" t="n">
        <v>8.1</v>
      </c>
      <c r="C5" t="n">
        <v>280</v>
      </c>
      <c r="D5" t="n">
        <v>8</v>
      </c>
      <c r="E5" t="n">
        <v>2</v>
      </c>
      <c r="F5" t="n">
        <v>2240</v>
      </c>
      <c r="G5" t="n">
        <v>560</v>
      </c>
      <c r="H5" t="n">
        <v>0.25</v>
      </c>
      <c r="I5" t="n">
        <v>2380</v>
      </c>
      <c r="J5" t="inlineStr">
        <is>
          <t>aligerado: E.020, Anexo 1 (losas aligeradas en una dirección); acabados: supuesto del proyecto (revisar); tabiqueria: supuesto del proyecto (revisar); estructura: supuesto del proyecto (revisar); CV: E.020, art. 6.1, Tabla 1 (vivienda)</t>
        </is>
      </c>
    </row>
    <row r="6">
      <c r="A6" t="inlineStr">
        <is>
          <t>Piso 4</t>
        </is>
      </c>
      <c r="B6" t="n">
        <v>10.8</v>
      </c>
      <c r="C6" t="n">
        <v>280</v>
      </c>
      <c r="D6" t="n">
        <v>8</v>
      </c>
      <c r="E6" t="n">
        <v>2</v>
      </c>
      <c r="F6" t="n">
        <v>2240</v>
      </c>
      <c r="G6" t="n">
        <v>560</v>
      </c>
      <c r="H6" t="n">
        <v>0.25</v>
      </c>
      <c r="I6" t="n">
        <v>2380</v>
      </c>
      <c r="J6" t="inlineStr">
        <is>
          <t>aligerado: E.020, Anexo 1 (losas aligeradas en una dirección); acabados: supuesto del proyecto (revisar); tabiqueria: supuesto del proyecto (revisar); estructura: supuesto del proyecto (revisar); CV: E.020, art. 6.1, Tabla 1 (vivienda)</t>
        </is>
      </c>
    </row>
    <row r="7">
      <c r="A7" t="inlineStr">
        <is>
          <t>Azotea</t>
        </is>
      </c>
      <c r="B7" t="n">
        <v>13.5</v>
      </c>
      <c r="C7" t="n">
        <v>280</v>
      </c>
      <c r="D7" t="n">
        <v>6.5</v>
      </c>
      <c r="E7" t="n">
        <v>1</v>
      </c>
      <c r="F7" t="n">
        <v>1820</v>
      </c>
      <c r="G7" t="n">
        <v>280</v>
      </c>
      <c r="H7" t="n">
        <v>0.25</v>
      </c>
      <c r="I7" t="n">
        <v>1890</v>
      </c>
      <c r="J7" t="inlineStr">
        <is>
          <t>aligerado: E.020, Anexo 1 (losas aligeradas en una dirección); acabados: supuesto del proyecto (revisar); estructura: supuesto del proyecto (revisar); CV: E.020, art. 7.1 a)</t>
        </is>
      </c>
    </row>
    <row r="8">
      <c r="A8" s="3" t="inlineStr">
        <is>
          <t>TOTAL</t>
        </is>
      </c>
      <c r="B8" t="n">
        <v>13.5</v>
      </c>
      <c r="I8" t="n">
        <v>11410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3" t="inlineStr">
        <is>
          <t>Dirección X — Concreto armado – dual — E.030-2026 (RM 183-2026-VIVIENDA)</t>
        </is>
      </c>
    </row>
    <row r="2">
      <c r="A2" t="inlineStr">
        <is>
          <t>Z</t>
        </is>
      </c>
      <c r="B2" t="n">
        <v>0.45</v>
      </c>
    </row>
    <row r="3">
      <c r="A3" t="inlineStr">
        <is>
          <t>U</t>
        </is>
      </c>
      <c r="B3" t="n">
        <v>1</v>
      </c>
    </row>
    <row r="4">
      <c r="A4" t="inlineStr">
        <is>
          <t>Perfil</t>
        </is>
      </c>
      <c r="B4" t="inlineStr">
        <is>
          <t>S2</t>
        </is>
      </c>
    </row>
    <row r="5">
      <c r="A5" t="inlineStr">
        <is>
          <t>Vs30 (m/s)</t>
        </is>
      </c>
      <c r="B5" t="n">
        <v>420</v>
      </c>
    </row>
    <row r="6">
      <c r="A6" t="inlineStr">
        <is>
          <t>S</t>
        </is>
      </c>
      <c r="B6" t="n">
        <v>1.065</v>
      </c>
    </row>
    <row r="7">
      <c r="A7" t="inlineStr">
        <is>
          <t>TP (s)</t>
        </is>
      </c>
      <c r="B7" t="n">
        <v>0.53</v>
      </c>
    </row>
    <row r="8">
      <c r="A8" t="inlineStr">
        <is>
          <t>TL (s)</t>
        </is>
      </c>
      <c r="B8" t="n">
        <v>2.175</v>
      </c>
    </row>
    <row r="9">
      <c r="A9" t="inlineStr">
        <is>
          <t>R0</t>
        </is>
      </c>
      <c r="B9" t="n">
        <v>7</v>
      </c>
    </row>
    <row r="10">
      <c r="A10" t="inlineStr">
        <is>
          <t>Ia</t>
        </is>
      </c>
      <c r="B10" t="n">
        <v>1</v>
      </c>
    </row>
    <row r="11">
      <c r="A11" t="inlineStr">
        <is>
          <t>Ip</t>
        </is>
      </c>
      <c r="B11" t="n">
        <v>1</v>
      </c>
    </row>
    <row r="12">
      <c r="A12" t="inlineStr">
        <is>
          <t>R</t>
        </is>
      </c>
      <c r="B12" t="n">
        <v>7</v>
      </c>
    </row>
    <row r="13">
      <c r="A13" t="inlineStr">
        <is>
          <t>T (s)</t>
        </is>
      </c>
      <c r="B13" t="n">
        <v>0.225</v>
      </c>
    </row>
    <row r="14">
      <c r="A14" t="inlineStr">
        <is>
          <t>Fuente de T</t>
        </is>
      </c>
      <c r="B14" t="inlineStr">
        <is>
          <t>T = hn/CT = 13.5/60 (art. 36)</t>
        </is>
      </c>
    </row>
    <row r="15">
      <c r="A15" t="inlineStr">
        <is>
          <t>C</t>
        </is>
      </c>
      <c r="B15" t="n">
        <v>2.5</v>
      </c>
    </row>
    <row r="16">
      <c r="A16" t="inlineStr">
        <is>
          <t>C/R</t>
        </is>
      </c>
      <c r="B16" t="n">
        <v>0.3571</v>
      </c>
    </row>
    <row r="17">
      <c r="A17" t="inlineStr">
        <is>
          <t>k</t>
        </is>
      </c>
      <c r="B17" t="n">
        <v>1</v>
      </c>
    </row>
    <row r="18">
      <c r="A18" t="inlineStr">
        <is>
          <t>P (kN)</t>
        </is>
      </c>
      <c r="B18" t="n">
        <v>11410</v>
      </c>
    </row>
    <row r="19">
      <c r="A19" t="inlineStr">
        <is>
          <t>V = Z·U·C·S/R·P (kN)</t>
        </is>
      </c>
      <c r="B19" t="n">
        <v>1952.944</v>
      </c>
    </row>
    <row r="20">
      <c r="A20" t="inlineStr">
        <is>
          <t>Método estático aplicable (art. 33)</t>
        </is>
      </c>
      <c r="B20" t="inlineStr">
        <is>
          <t>sí</t>
        </is>
      </c>
    </row>
    <row r="22">
      <c r="A22" s="2" t="inlineStr">
        <is>
          <t>Nivel</t>
        </is>
      </c>
      <c r="B22" s="2" t="inlineStr">
        <is>
          <t>h (m)</t>
        </is>
      </c>
      <c r="C22" s="2" t="inlineStr">
        <is>
          <t>P (kN)</t>
        </is>
      </c>
      <c r="D22" s="2" t="inlineStr">
        <is>
          <t>α</t>
        </is>
      </c>
      <c r="E22" s="2" t="inlineStr">
        <is>
          <t>F (kN)</t>
        </is>
      </c>
      <c r="F22" s="2" t="inlineStr">
        <is>
          <t>Cortante de piso (kN)</t>
        </is>
      </c>
    </row>
    <row r="23">
      <c r="A23" t="inlineStr">
        <is>
          <t>Azotea</t>
        </is>
      </c>
      <c r="B23" t="n">
        <v>13.5</v>
      </c>
      <c r="C23" t="n">
        <v>1890</v>
      </c>
      <c r="D23" t="n">
        <v>0.28421</v>
      </c>
      <c r="E23" t="n">
        <v>555.047</v>
      </c>
      <c r="F23" t="n">
        <v>555.047</v>
      </c>
    </row>
    <row r="24">
      <c r="A24" t="inlineStr">
        <is>
          <t>Piso 4</t>
        </is>
      </c>
      <c r="B24" t="n">
        <v>10.8</v>
      </c>
      <c r="C24" t="n">
        <v>2380</v>
      </c>
      <c r="D24" t="n">
        <v>0.28632</v>
      </c>
      <c r="E24" t="n">
        <v>559.159</v>
      </c>
      <c r="F24" t="n">
        <v>1114.206</v>
      </c>
    </row>
    <row r="25">
      <c r="A25" t="inlineStr">
        <is>
          <t>Piso 3</t>
        </is>
      </c>
      <c r="B25" t="n">
        <v>8.1</v>
      </c>
      <c r="C25" t="n">
        <v>2380</v>
      </c>
      <c r="D25" t="n">
        <v>0.21474</v>
      </c>
      <c r="E25" t="n">
        <v>419.369</v>
      </c>
      <c r="F25" t="n">
        <v>1533.575</v>
      </c>
    </row>
    <row r="26">
      <c r="A26" t="inlineStr">
        <is>
          <t>Piso 2</t>
        </is>
      </c>
      <c r="B26" t="n">
        <v>5.4</v>
      </c>
      <c r="C26" t="n">
        <v>2380</v>
      </c>
      <c r="D26" t="n">
        <v>0.14316</v>
      </c>
      <c r="E26" t="n">
        <v>279.579</v>
      </c>
      <c r="F26" t="n">
        <v>1813.154</v>
      </c>
    </row>
    <row r="27">
      <c r="A27" t="inlineStr">
        <is>
          <t>Piso 1</t>
        </is>
      </c>
      <c r="B27" t="n">
        <v>2.7</v>
      </c>
      <c r="C27" t="n">
        <v>2380</v>
      </c>
      <c r="D27" t="n">
        <v>0.07158</v>
      </c>
      <c r="E27" t="n">
        <v>139.79</v>
      </c>
      <c r="F27" t="n">
        <v>1952.944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3" t="inlineStr">
        <is>
          <t>Dirección Y — Concreto armado – muros estructurales — E.030-2026 (RM 183-2026-VIVIENDA)</t>
        </is>
      </c>
    </row>
    <row r="2">
      <c r="A2" t="inlineStr">
        <is>
          <t>Z</t>
        </is>
      </c>
      <c r="B2" t="n">
        <v>0.45</v>
      </c>
    </row>
    <row r="3">
      <c r="A3" t="inlineStr">
        <is>
          <t>U</t>
        </is>
      </c>
      <c r="B3" t="n">
        <v>1</v>
      </c>
    </row>
    <row r="4">
      <c r="A4" t="inlineStr">
        <is>
          <t>Perfil</t>
        </is>
      </c>
      <c r="B4" t="inlineStr">
        <is>
          <t>S2</t>
        </is>
      </c>
    </row>
    <row r="5">
      <c r="A5" t="inlineStr">
        <is>
          <t>Vs30 (m/s)</t>
        </is>
      </c>
      <c r="B5" t="n">
        <v>420</v>
      </c>
    </row>
    <row r="6">
      <c r="A6" t="inlineStr">
        <is>
          <t>S</t>
        </is>
      </c>
      <c r="B6" t="n">
        <v>1.065</v>
      </c>
    </row>
    <row r="7">
      <c r="A7" t="inlineStr">
        <is>
          <t>TP (s)</t>
        </is>
      </c>
      <c r="B7" t="n">
        <v>0.53</v>
      </c>
    </row>
    <row r="8">
      <c r="A8" t="inlineStr">
        <is>
          <t>TL (s)</t>
        </is>
      </c>
      <c r="B8" t="n">
        <v>2.175</v>
      </c>
    </row>
    <row r="9">
      <c r="A9" t="inlineStr">
        <is>
          <t>R0</t>
        </is>
      </c>
      <c r="B9" t="n">
        <v>6</v>
      </c>
    </row>
    <row r="10">
      <c r="A10" t="inlineStr">
        <is>
          <t>Ia</t>
        </is>
      </c>
      <c r="B10" t="n">
        <v>1</v>
      </c>
    </row>
    <row r="11">
      <c r="A11" t="inlineStr">
        <is>
          <t>Ip</t>
        </is>
      </c>
      <c r="B11" t="n">
        <v>1</v>
      </c>
    </row>
    <row r="12">
      <c r="A12" t="inlineStr">
        <is>
          <t>R</t>
        </is>
      </c>
      <c r="B12" t="n">
        <v>6</v>
      </c>
    </row>
    <row r="13">
      <c r="A13" t="inlineStr">
        <is>
          <t>T (s)</t>
        </is>
      </c>
      <c r="B13" t="n">
        <v>0.225</v>
      </c>
    </row>
    <row r="14">
      <c r="A14" t="inlineStr">
        <is>
          <t>Fuente de T</t>
        </is>
      </c>
      <c r="B14" t="inlineStr">
        <is>
          <t>T = hn/CT = 13.5/60 (art. 36)</t>
        </is>
      </c>
    </row>
    <row r="15">
      <c r="A15" t="inlineStr">
        <is>
          <t>C</t>
        </is>
      </c>
      <c r="B15" t="n">
        <v>2.5</v>
      </c>
    </row>
    <row r="16">
      <c r="A16" t="inlineStr">
        <is>
          <t>C/R</t>
        </is>
      </c>
      <c r="B16" t="n">
        <v>0.4167</v>
      </c>
    </row>
    <row r="17">
      <c r="A17" t="inlineStr">
        <is>
          <t>k</t>
        </is>
      </c>
      <c r="B17" t="n">
        <v>1</v>
      </c>
    </row>
    <row r="18">
      <c r="A18" t="inlineStr">
        <is>
          <t>P (kN)</t>
        </is>
      </c>
      <c r="B18" t="n">
        <v>11410</v>
      </c>
    </row>
    <row r="19">
      <c r="A19" t="inlineStr">
        <is>
          <t>V = Z·U·C·S/R·P (kN)</t>
        </is>
      </c>
      <c r="B19" t="n">
        <v>2278.434</v>
      </c>
    </row>
    <row r="20">
      <c r="A20" t="inlineStr">
        <is>
          <t>Método estático aplicable (art. 33)</t>
        </is>
      </c>
      <c r="B20" t="inlineStr">
        <is>
          <t>sí</t>
        </is>
      </c>
    </row>
    <row r="22">
      <c r="A22" s="2" t="inlineStr">
        <is>
          <t>Nivel</t>
        </is>
      </c>
      <c r="B22" s="2" t="inlineStr">
        <is>
          <t>h (m)</t>
        </is>
      </c>
      <c r="C22" s="2" t="inlineStr">
        <is>
          <t>P (kN)</t>
        </is>
      </c>
      <c r="D22" s="2" t="inlineStr">
        <is>
          <t>α</t>
        </is>
      </c>
      <c r="E22" s="2" t="inlineStr">
        <is>
          <t>F (kN)</t>
        </is>
      </c>
      <c r="F22" s="2" t="inlineStr">
        <is>
          <t>Cortante de piso (kN)</t>
        </is>
      </c>
    </row>
    <row r="23">
      <c r="A23" t="inlineStr">
        <is>
          <t>Azotea</t>
        </is>
      </c>
      <c r="B23" t="n">
        <v>13.5</v>
      </c>
      <c r="C23" t="n">
        <v>1890</v>
      </c>
      <c r="D23" t="n">
        <v>0.28421</v>
      </c>
      <c r="E23" t="n">
        <v>647.5549999999999</v>
      </c>
      <c r="F23" t="n">
        <v>647.5549999999999</v>
      </c>
    </row>
    <row r="24">
      <c r="A24" t="inlineStr">
        <is>
          <t>Piso 4</t>
        </is>
      </c>
      <c r="B24" t="n">
        <v>10.8</v>
      </c>
      <c r="C24" t="n">
        <v>2380</v>
      </c>
      <c r="D24" t="n">
        <v>0.28632</v>
      </c>
      <c r="E24" t="n">
        <v>652.352</v>
      </c>
      <c r="F24" t="n">
        <v>1299.907</v>
      </c>
    </row>
    <row r="25">
      <c r="A25" t="inlineStr">
        <is>
          <t>Piso 3</t>
        </is>
      </c>
      <c r="B25" t="n">
        <v>8.1</v>
      </c>
      <c r="C25" t="n">
        <v>2380</v>
      </c>
      <c r="D25" t="n">
        <v>0.21474</v>
      </c>
      <c r="E25" t="n">
        <v>489.264</v>
      </c>
      <c r="F25" t="n">
        <v>1789.171</v>
      </c>
    </row>
    <row r="26">
      <c r="A26" t="inlineStr">
        <is>
          <t>Piso 2</t>
        </is>
      </c>
      <c r="B26" t="n">
        <v>5.4</v>
      </c>
      <c r="C26" t="n">
        <v>2380</v>
      </c>
      <c r="D26" t="n">
        <v>0.14316</v>
      </c>
      <c r="E26" t="n">
        <v>326.176</v>
      </c>
      <c r="F26" t="n">
        <v>2115.347</v>
      </c>
    </row>
    <row r="27">
      <c r="A27" t="inlineStr">
        <is>
          <t>Piso 1</t>
        </is>
      </c>
      <c r="B27" t="n">
        <v>2.7</v>
      </c>
      <c r="C27" t="n">
        <v>2380</v>
      </c>
      <c r="D27" t="n">
        <v>0.07158</v>
      </c>
      <c r="E27" t="n">
        <v>163.088</v>
      </c>
      <c r="F27" t="n">
        <v>2278.435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 (s)</t>
        </is>
      </c>
      <c r="B1" s="2" t="inlineStr">
        <is>
          <t>Sa/g X</t>
        </is>
      </c>
      <c r="C1" s="2" t="inlineStr">
        <is>
          <t>Sa/g Y</t>
        </is>
      </c>
    </row>
    <row r="2">
      <c r="A2" t="n">
        <v>0</v>
      </c>
      <c r="B2" t="n">
        <v>0.17116</v>
      </c>
      <c r="C2" t="n">
        <v>0.19969</v>
      </c>
    </row>
    <row r="3">
      <c r="A3" t="n">
        <v>0.05</v>
      </c>
      <c r="B3" t="n">
        <v>0.17116</v>
      </c>
      <c r="C3" t="n">
        <v>0.19969</v>
      </c>
    </row>
    <row r="4">
      <c r="A4" t="n">
        <v>0.1</v>
      </c>
      <c r="B4" t="n">
        <v>0.17116</v>
      </c>
      <c r="C4" t="n">
        <v>0.19969</v>
      </c>
    </row>
    <row r="5">
      <c r="A5" t="n">
        <v>0.15</v>
      </c>
      <c r="B5" t="n">
        <v>0.17116</v>
      </c>
      <c r="C5" t="n">
        <v>0.19969</v>
      </c>
    </row>
    <row r="6">
      <c r="A6" t="n">
        <v>0.2</v>
      </c>
      <c r="B6" t="n">
        <v>0.17116</v>
      </c>
      <c r="C6" t="n">
        <v>0.19969</v>
      </c>
    </row>
    <row r="7">
      <c r="A7" t="n">
        <v>0.25</v>
      </c>
      <c r="B7" t="n">
        <v>0.17116</v>
      </c>
      <c r="C7" t="n">
        <v>0.19969</v>
      </c>
    </row>
    <row r="8">
      <c r="A8" t="n">
        <v>0.3</v>
      </c>
      <c r="B8" t="n">
        <v>0.17116</v>
      </c>
      <c r="C8" t="n">
        <v>0.19969</v>
      </c>
    </row>
    <row r="9">
      <c r="A9" t="n">
        <v>0.35</v>
      </c>
      <c r="B9" t="n">
        <v>0.17116</v>
      </c>
      <c r="C9" t="n">
        <v>0.19969</v>
      </c>
    </row>
    <row r="10">
      <c r="A10" t="n">
        <v>0.4</v>
      </c>
      <c r="B10" t="n">
        <v>0.17116</v>
      </c>
      <c r="C10" t="n">
        <v>0.19969</v>
      </c>
    </row>
    <row r="11">
      <c r="A11" t="n">
        <v>0.45</v>
      </c>
      <c r="B11" t="n">
        <v>0.17116</v>
      </c>
      <c r="C11" t="n">
        <v>0.19969</v>
      </c>
    </row>
    <row r="12">
      <c r="A12" t="n">
        <v>0.5</v>
      </c>
      <c r="B12" t="n">
        <v>0.17116</v>
      </c>
      <c r="C12" t="n">
        <v>0.19969</v>
      </c>
    </row>
    <row r="13">
      <c r="A13" t="n">
        <v>0.53</v>
      </c>
      <c r="B13" t="n">
        <v>0.17116</v>
      </c>
      <c r="C13" t="n">
        <v>0.19969</v>
      </c>
    </row>
    <row r="14">
      <c r="A14" t="n">
        <v>0.55</v>
      </c>
      <c r="B14" t="n">
        <v>0.16494</v>
      </c>
      <c r="C14" t="n">
        <v>0.19243</v>
      </c>
    </row>
    <row r="15">
      <c r="A15" t="n">
        <v>0.6</v>
      </c>
      <c r="B15" t="n">
        <v>0.15119</v>
      </c>
      <c r="C15" t="n">
        <v>0.17639</v>
      </c>
    </row>
    <row r="16">
      <c r="A16" t="n">
        <v>0.65</v>
      </c>
      <c r="B16" t="n">
        <v>0.13956</v>
      </c>
      <c r="C16" t="n">
        <v>0.16282</v>
      </c>
    </row>
    <row r="17">
      <c r="A17" t="n">
        <v>0.7</v>
      </c>
      <c r="B17" t="n">
        <v>0.12959</v>
      </c>
      <c r="C17" t="n">
        <v>0.15119</v>
      </c>
    </row>
    <row r="18">
      <c r="A18" t="n">
        <v>0.75</v>
      </c>
      <c r="B18" t="n">
        <v>0.12095</v>
      </c>
      <c r="C18" t="n">
        <v>0.14111</v>
      </c>
    </row>
    <row r="19">
      <c r="A19" t="n">
        <v>0.8</v>
      </c>
      <c r="B19" t="n">
        <v>0.11339</v>
      </c>
      <c r="C19" t="n">
        <v>0.13229</v>
      </c>
    </row>
    <row r="20">
      <c r="A20" t="n">
        <v>0.85</v>
      </c>
      <c r="B20" t="n">
        <v>0.10672</v>
      </c>
      <c r="C20" t="n">
        <v>0.12451</v>
      </c>
    </row>
    <row r="21">
      <c r="A21" t="n">
        <v>0.9</v>
      </c>
      <c r="B21" t="n">
        <v>0.10079</v>
      </c>
      <c r="C21" t="n">
        <v>0.11759</v>
      </c>
    </row>
    <row r="22">
      <c r="A22" t="n">
        <v>0.95</v>
      </c>
      <c r="B22" t="n">
        <v>0.09549000000000001</v>
      </c>
      <c r="C22" t="n">
        <v>0.1114</v>
      </c>
    </row>
    <row r="23">
      <c r="A23" t="n">
        <v>1</v>
      </c>
      <c r="B23" t="n">
        <v>0.09072</v>
      </c>
      <c r="C23" t="n">
        <v>0.10583</v>
      </c>
    </row>
    <row r="24">
      <c r="A24" t="n">
        <v>1.05</v>
      </c>
      <c r="B24" t="n">
        <v>0.0864</v>
      </c>
      <c r="C24" t="n">
        <v>0.10079</v>
      </c>
    </row>
    <row r="25">
      <c r="A25" t="n">
        <v>1.1</v>
      </c>
      <c r="B25" t="n">
        <v>0.08247</v>
      </c>
      <c r="C25" t="n">
        <v>0.09621</v>
      </c>
    </row>
    <row r="26">
      <c r="A26" t="n">
        <v>1.15</v>
      </c>
      <c r="B26" t="n">
        <v>0.07888000000000001</v>
      </c>
      <c r="C26" t="n">
        <v>0.09203</v>
      </c>
    </row>
    <row r="27">
      <c r="A27" t="n">
        <v>1.2</v>
      </c>
      <c r="B27" t="n">
        <v>0.0756</v>
      </c>
      <c r="C27" t="n">
        <v>0.0882</v>
      </c>
    </row>
    <row r="28">
      <c r="A28" t="n">
        <v>1.25</v>
      </c>
      <c r="B28" t="n">
        <v>0.07257</v>
      </c>
      <c r="C28" t="n">
        <v>0.08467</v>
      </c>
    </row>
    <row r="29">
      <c r="A29" t="n">
        <v>1.3</v>
      </c>
      <c r="B29" t="n">
        <v>0.06977999999999999</v>
      </c>
      <c r="C29" t="n">
        <v>0.08141</v>
      </c>
    </row>
    <row r="30">
      <c r="A30" t="n">
        <v>1.35</v>
      </c>
      <c r="B30" t="n">
        <v>0.0672</v>
      </c>
      <c r="C30" t="n">
        <v>0.0784</v>
      </c>
    </row>
    <row r="31">
      <c r="A31" t="n">
        <v>1.4</v>
      </c>
      <c r="B31" t="n">
        <v>0.0648</v>
      </c>
      <c r="C31" t="n">
        <v>0.0756</v>
      </c>
    </row>
    <row r="32">
      <c r="A32" t="n">
        <v>1.45</v>
      </c>
      <c r="B32" t="n">
        <v>0.06256</v>
      </c>
      <c r="C32" t="n">
        <v>0.07299</v>
      </c>
    </row>
    <row r="33">
      <c r="A33" t="n">
        <v>1.5</v>
      </c>
      <c r="B33" t="n">
        <v>0.06048</v>
      </c>
      <c r="C33" t="n">
        <v>0.07056</v>
      </c>
    </row>
    <row r="34">
      <c r="A34" t="n">
        <v>1.55</v>
      </c>
      <c r="B34" t="n">
        <v>0.05853</v>
      </c>
      <c r="C34" t="n">
        <v>0.06827999999999999</v>
      </c>
    </row>
    <row r="35">
      <c r="A35" t="n">
        <v>1.6</v>
      </c>
      <c r="B35" t="n">
        <v>0.0567</v>
      </c>
      <c r="C35" t="n">
        <v>0.06615</v>
      </c>
    </row>
    <row r="36">
      <c r="A36" t="n">
        <v>1.65</v>
      </c>
      <c r="B36" t="n">
        <v>0.05498</v>
      </c>
      <c r="C36" t="n">
        <v>0.06414</v>
      </c>
    </row>
    <row r="37">
      <c r="A37" t="n">
        <v>1.7</v>
      </c>
      <c r="B37" t="n">
        <v>0.05336</v>
      </c>
      <c r="C37" t="n">
        <v>0.06226</v>
      </c>
    </row>
    <row r="38">
      <c r="A38" t="n">
        <v>1.75</v>
      </c>
      <c r="B38" t="n">
        <v>0.05184</v>
      </c>
      <c r="C38" t="n">
        <v>0.06048</v>
      </c>
    </row>
    <row r="39">
      <c r="A39" t="n">
        <v>1.8</v>
      </c>
      <c r="B39" t="n">
        <v>0.0504</v>
      </c>
      <c r="C39" t="n">
        <v>0.0588</v>
      </c>
    </row>
    <row r="40">
      <c r="A40" t="n">
        <v>1.85</v>
      </c>
      <c r="B40" t="n">
        <v>0.04904</v>
      </c>
      <c r="C40" t="n">
        <v>0.05721</v>
      </c>
    </row>
    <row r="41">
      <c r="A41" t="n">
        <v>1.9</v>
      </c>
      <c r="B41" t="n">
        <v>0.04774</v>
      </c>
      <c r="C41" t="n">
        <v>0.0557</v>
      </c>
    </row>
    <row r="42">
      <c r="A42" t="n">
        <v>1.95</v>
      </c>
      <c r="B42" t="n">
        <v>0.04652</v>
      </c>
      <c r="C42" t="n">
        <v>0.05427</v>
      </c>
    </row>
    <row r="43">
      <c r="A43" t="n">
        <v>2</v>
      </c>
      <c r="B43" t="n">
        <v>0.04536</v>
      </c>
      <c r="C43" t="n">
        <v>0.05292</v>
      </c>
    </row>
    <row r="44">
      <c r="A44" t="n">
        <v>2.05</v>
      </c>
      <c r="B44" t="n">
        <v>0.04425</v>
      </c>
      <c r="C44" t="n">
        <v>0.05163</v>
      </c>
    </row>
    <row r="45">
      <c r="A45" t="n">
        <v>2.1</v>
      </c>
      <c r="B45" t="n">
        <v>0.0432</v>
      </c>
      <c r="C45" t="n">
        <v>0.0504</v>
      </c>
    </row>
    <row r="46">
      <c r="A46" t="n">
        <v>2.15</v>
      </c>
      <c r="B46" t="n">
        <v>0.04219</v>
      </c>
      <c r="C46" t="n">
        <v>0.04923</v>
      </c>
    </row>
    <row r="47">
      <c r="A47" t="n">
        <v>2.175</v>
      </c>
      <c r="B47" t="n">
        <v>0.04171</v>
      </c>
      <c r="C47" t="n">
        <v>0.04866</v>
      </c>
    </row>
    <row r="48">
      <c r="A48" t="n">
        <v>2.2</v>
      </c>
      <c r="B48" t="n">
        <v>0.04077</v>
      </c>
      <c r="C48" t="n">
        <v>0.04756</v>
      </c>
    </row>
    <row r="49">
      <c r="A49" t="n">
        <v>2.25</v>
      </c>
      <c r="B49" t="n">
        <v>0.03897</v>
      </c>
      <c r="C49" t="n">
        <v>0.04547</v>
      </c>
    </row>
    <row r="50">
      <c r="A50" t="n">
        <v>2.3</v>
      </c>
      <c r="B50" t="n">
        <v>0.0373</v>
      </c>
      <c r="C50" t="n">
        <v>0.04351</v>
      </c>
    </row>
    <row r="51">
      <c r="A51" t="n">
        <v>2.35</v>
      </c>
      <c r="B51" t="n">
        <v>0.03573</v>
      </c>
      <c r="C51" t="n">
        <v>0.04168</v>
      </c>
    </row>
    <row r="52">
      <c r="A52" t="n">
        <v>2.4</v>
      </c>
      <c r="B52" t="n">
        <v>0.03425</v>
      </c>
      <c r="C52" t="n">
        <v>0.03996</v>
      </c>
    </row>
    <row r="53">
      <c r="A53" t="n">
        <v>2.45</v>
      </c>
      <c r="B53" t="n">
        <v>0.03287</v>
      </c>
      <c r="C53" t="n">
        <v>0.03835</v>
      </c>
    </row>
    <row r="54">
      <c r="A54" t="n">
        <v>2.5</v>
      </c>
      <c r="B54" t="n">
        <v>0.03157</v>
      </c>
      <c r="C54" t="n">
        <v>0.03683</v>
      </c>
    </row>
    <row r="55">
      <c r="A55" t="n">
        <v>2.55</v>
      </c>
      <c r="B55" t="n">
        <v>0.03034</v>
      </c>
      <c r="C55" t="n">
        <v>0.0354</v>
      </c>
    </row>
    <row r="56">
      <c r="A56" t="n">
        <v>2.6</v>
      </c>
      <c r="B56" t="n">
        <v>0.02919</v>
      </c>
      <c r="C56" t="n">
        <v>0.03405</v>
      </c>
    </row>
    <row r="57">
      <c r="A57" t="n">
        <v>2.65</v>
      </c>
      <c r="B57" t="n">
        <v>0.0281</v>
      </c>
      <c r="C57" t="n">
        <v>0.03278</v>
      </c>
    </row>
    <row r="58">
      <c r="A58" t="n">
        <v>2.7</v>
      </c>
      <c r="B58" t="n">
        <v>0.02707</v>
      </c>
      <c r="C58" t="n">
        <v>0.03158</v>
      </c>
    </row>
    <row r="59">
      <c r="A59" t="n">
        <v>2.75</v>
      </c>
      <c r="B59" t="n">
        <v>0.02609</v>
      </c>
      <c r="C59" t="n">
        <v>0.03044</v>
      </c>
    </row>
    <row r="60">
      <c r="A60" t="n">
        <v>2.8</v>
      </c>
      <c r="B60" t="n">
        <v>0.02517</v>
      </c>
      <c r="C60" t="n">
        <v>0.02936</v>
      </c>
    </row>
    <row r="61">
      <c r="A61" t="n">
        <v>2.85</v>
      </c>
      <c r="B61" t="n">
        <v>0.02429</v>
      </c>
      <c r="C61" t="n">
        <v>0.02834</v>
      </c>
    </row>
    <row r="62">
      <c r="A62" t="n">
        <v>2.9</v>
      </c>
      <c r="B62" t="n">
        <v>0.02346</v>
      </c>
      <c r="C62" t="n">
        <v>0.02737</v>
      </c>
    </row>
    <row r="63">
      <c r="A63" t="n">
        <v>2.95</v>
      </c>
      <c r="B63" t="n">
        <v>0.02267</v>
      </c>
      <c r="C63" t="n">
        <v>0.02645</v>
      </c>
    </row>
    <row r="64">
      <c r="A64" t="n">
        <v>3</v>
      </c>
      <c r="B64" t="n">
        <v>0.02192</v>
      </c>
      <c r="C64" t="n">
        <v>0.02558</v>
      </c>
    </row>
    <row r="65">
      <c r="A65" t="n">
        <v>3.05</v>
      </c>
      <c r="B65" t="n">
        <v>0.02121</v>
      </c>
      <c r="C65" t="n">
        <v>0.02474</v>
      </c>
    </row>
    <row r="66">
      <c r="A66" t="n">
        <v>3.1</v>
      </c>
      <c r="B66" t="n">
        <v>0.02053</v>
      </c>
      <c r="C66" t="n">
        <v>0.02395</v>
      </c>
    </row>
    <row r="67">
      <c r="A67" t="n">
        <v>3.15</v>
      </c>
      <c r="B67" t="n">
        <v>0.01988</v>
      </c>
      <c r="C67" t="n">
        <v>0.0232</v>
      </c>
    </row>
    <row r="68">
      <c r="A68" t="n">
        <v>3.2</v>
      </c>
      <c r="B68" t="n">
        <v>0.01927</v>
      </c>
      <c r="C68" t="n">
        <v>0.02248</v>
      </c>
    </row>
    <row r="69">
      <c r="A69" t="n">
        <v>3.25</v>
      </c>
      <c r="B69" t="n">
        <v>0.01868</v>
      </c>
      <c r="C69" t="n">
        <v>0.02179</v>
      </c>
    </row>
    <row r="70">
      <c r="A70" t="n">
        <v>3.3</v>
      </c>
      <c r="B70" t="n">
        <v>0.01812</v>
      </c>
      <c r="C70" t="n">
        <v>0.02114</v>
      </c>
    </row>
    <row r="71">
      <c r="A71" t="n">
        <v>3.35</v>
      </c>
      <c r="B71" t="n">
        <v>0.01758</v>
      </c>
      <c r="C71" t="n">
        <v>0.02051</v>
      </c>
    </row>
    <row r="72">
      <c r="A72" t="n">
        <v>3.4</v>
      </c>
      <c r="B72" t="n">
        <v>0.01707</v>
      </c>
      <c r="C72" t="n">
        <v>0.01991</v>
      </c>
    </row>
    <row r="73">
      <c r="A73" t="n">
        <v>3.45</v>
      </c>
      <c r="B73" t="n">
        <v>0.01658</v>
      </c>
      <c r="C73" t="n">
        <v>0.01934</v>
      </c>
    </row>
    <row r="74">
      <c r="A74" t="n">
        <v>3.5</v>
      </c>
      <c r="B74" t="n">
        <v>0.01611</v>
      </c>
      <c r="C74" t="n">
        <v>0.01879</v>
      </c>
    </row>
    <row r="75">
      <c r="A75" t="n">
        <v>3.55</v>
      </c>
      <c r="B75" t="n">
        <v>0.01566</v>
      </c>
      <c r="C75" t="n">
        <v>0.01827</v>
      </c>
    </row>
    <row r="76">
      <c r="A76" t="n">
        <v>3.6</v>
      </c>
      <c r="B76" t="n">
        <v>0.01522</v>
      </c>
      <c r="C76" t="n">
        <v>0.01776</v>
      </c>
    </row>
    <row r="77">
      <c r="A77" t="n">
        <v>3.65</v>
      </c>
      <c r="B77" t="n">
        <v>0.01481</v>
      </c>
      <c r="C77" t="n">
        <v>0.01728</v>
      </c>
    </row>
    <row r="78">
      <c r="A78" t="n">
        <v>3.7</v>
      </c>
      <c r="B78" t="n">
        <v>0.01441</v>
      </c>
      <c r="C78" t="n">
        <v>0.01681</v>
      </c>
    </row>
    <row r="79">
      <c r="A79" t="n">
        <v>3.75</v>
      </c>
      <c r="B79" t="n">
        <v>0.01403</v>
      </c>
      <c r="C79" t="n">
        <v>0.01637</v>
      </c>
    </row>
    <row r="80">
      <c r="A80" t="n">
        <v>3.8</v>
      </c>
      <c r="B80" t="n">
        <v>0.01366</v>
      </c>
      <c r="C80" t="n">
        <v>0.01594</v>
      </c>
    </row>
    <row r="81">
      <c r="A81" t="n">
        <v>3.85</v>
      </c>
      <c r="B81" t="n">
        <v>0.01331</v>
      </c>
      <c r="C81" t="n">
        <v>0.01553</v>
      </c>
    </row>
    <row r="82">
      <c r="A82" t="n">
        <v>3.9</v>
      </c>
      <c r="B82" t="n">
        <v>0.01297</v>
      </c>
      <c r="C82" t="n">
        <v>0.01513</v>
      </c>
    </row>
    <row r="83">
      <c r="A83" t="n">
        <v>3.95</v>
      </c>
      <c r="B83" t="n">
        <v>0.01265</v>
      </c>
      <c r="C83" t="n">
        <v>0.01475</v>
      </c>
    </row>
    <row r="84">
      <c r="A84" t="n">
        <v>4</v>
      </c>
      <c r="B84" t="n">
        <v>0.01233</v>
      </c>
      <c r="C84" t="n">
        <v>0.01439</v>
      </c>
    </row>
    <row r="85">
      <c r="A85" t="n">
        <v>4.05</v>
      </c>
      <c r="B85" t="n">
        <v>0.01203</v>
      </c>
      <c r="C85" t="n">
        <v>0.01403</v>
      </c>
    </row>
    <row r="86">
      <c r="A86" t="n">
        <v>4.1</v>
      </c>
      <c r="B86" t="n">
        <v>0.01174</v>
      </c>
      <c r="C86" t="n">
        <v>0.01369</v>
      </c>
    </row>
    <row r="87">
      <c r="A87" t="n">
        <v>4.15</v>
      </c>
      <c r="B87" t="n">
        <v>0.01146</v>
      </c>
      <c r="C87" t="n">
        <v>0.01337</v>
      </c>
    </row>
    <row r="88">
      <c r="A88" t="n">
        <v>4.2</v>
      </c>
      <c r="B88" t="n">
        <v>0.01119</v>
      </c>
      <c r="C88" t="n">
        <v>0.01305</v>
      </c>
    </row>
    <row r="89">
      <c r="A89" t="n">
        <v>4.25</v>
      </c>
      <c r="B89" t="n">
        <v>0.01092</v>
      </c>
      <c r="C89" t="n">
        <v>0.01274</v>
      </c>
    </row>
    <row r="90">
      <c r="A90" t="n">
        <v>4.3</v>
      </c>
      <c r="B90" t="n">
        <v>0.01067</v>
      </c>
      <c r="C90" t="n">
        <v>0.01245</v>
      </c>
    </row>
    <row r="91">
      <c r="A91" t="n">
        <v>4.35</v>
      </c>
      <c r="B91" t="n">
        <v>0.01043</v>
      </c>
      <c r="C91" t="n">
        <v>0.01216</v>
      </c>
    </row>
    <row r="92">
      <c r="A92" t="n">
        <v>4.4</v>
      </c>
      <c r="B92" t="n">
        <v>0.01019</v>
      </c>
      <c r="C92" t="n">
        <v>0.01189</v>
      </c>
    </row>
    <row r="93">
      <c r="A93" t="n">
        <v>4.45</v>
      </c>
      <c r="B93" t="n">
        <v>0.00996</v>
      </c>
      <c r="C93" t="n">
        <v>0.01162</v>
      </c>
    </row>
    <row r="94">
      <c r="A94" t="n">
        <v>4.5</v>
      </c>
      <c r="B94" t="n">
        <v>0.00974</v>
      </c>
      <c r="C94" t="n">
        <v>0.01137</v>
      </c>
    </row>
    <row r="95">
      <c r="A95" t="n">
        <v>4.55</v>
      </c>
      <c r="B95" t="n">
        <v>0.00953</v>
      </c>
      <c r="C95" t="n">
        <v>0.01112</v>
      </c>
    </row>
    <row r="96">
      <c r="A96" t="n">
        <v>4.6</v>
      </c>
      <c r="B96" t="n">
        <v>0.00932</v>
      </c>
      <c r="C96" t="n">
        <v>0.01088</v>
      </c>
    </row>
    <row r="97">
      <c r="A97" t="n">
        <v>4.65</v>
      </c>
      <c r="B97" t="n">
        <v>0.009129999999999999</v>
      </c>
      <c r="C97" t="n">
        <v>0.01065</v>
      </c>
    </row>
    <row r="98">
      <c r="A98" t="n">
        <v>4.7</v>
      </c>
      <c r="B98" t="n">
        <v>0.00893</v>
      </c>
      <c r="C98" t="n">
        <v>0.01042</v>
      </c>
    </row>
    <row r="99">
      <c r="A99" t="n">
        <v>4.75</v>
      </c>
      <c r="B99" t="n">
        <v>0.00874</v>
      </c>
      <c r="C99" t="n">
        <v>0.0102</v>
      </c>
    </row>
    <row r="100">
      <c r="A100" t="n">
        <v>4.8</v>
      </c>
      <c r="B100" t="n">
        <v>0.00856</v>
      </c>
      <c r="C100" t="n">
        <v>0.009990000000000001</v>
      </c>
    </row>
    <row r="101">
      <c r="A101" t="n">
        <v>4.85</v>
      </c>
      <c r="B101" t="n">
        <v>0.00839</v>
      </c>
      <c r="C101" t="n">
        <v>0.00979</v>
      </c>
    </row>
    <row r="102">
      <c r="A102" t="n">
        <v>4.9</v>
      </c>
      <c r="B102" t="n">
        <v>0.00822</v>
      </c>
      <c r="C102" t="n">
        <v>0.00959</v>
      </c>
    </row>
    <row r="103">
      <c r="A103" t="n">
        <v>4.95</v>
      </c>
      <c r="B103" t="n">
        <v>0.00805</v>
      </c>
      <c r="C103" t="n">
        <v>0.009390000000000001</v>
      </c>
    </row>
    <row r="104">
      <c r="A104" t="n">
        <v>5</v>
      </c>
      <c r="B104" t="n">
        <v>0.007889999999999999</v>
      </c>
      <c r="C104" t="n">
        <v>0.009209999999999999</v>
      </c>
    </row>
    <row r="105">
      <c r="A105" t="n">
        <v>5.05</v>
      </c>
      <c r="B105" t="n">
        <v>0.00774</v>
      </c>
      <c r="C105" t="n">
        <v>0.00903</v>
      </c>
    </row>
    <row r="106">
      <c r="A106" t="n">
        <v>5.1</v>
      </c>
      <c r="B106" t="n">
        <v>0.00759</v>
      </c>
      <c r="C106" t="n">
        <v>0.00885</v>
      </c>
    </row>
    <row r="107">
      <c r="A107" t="n">
        <v>5.15</v>
      </c>
      <c r="B107" t="n">
        <v>0.00744</v>
      </c>
      <c r="C107" t="n">
        <v>0.00868</v>
      </c>
    </row>
    <row r="108">
      <c r="A108" t="n">
        <v>5.2</v>
      </c>
      <c r="B108" t="n">
        <v>0.0073</v>
      </c>
      <c r="C108" t="n">
        <v>0.00851</v>
      </c>
    </row>
    <row r="109">
      <c r="A109" t="n">
        <v>5.25</v>
      </c>
      <c r="B109" t="n">
        <v>0.00716</v>
      </c>
      <c r="C109" t="n">
        <v>0.00835</v>
      </c>
    </row>
    <row r="110">
      <c r="A110" t="n">
        <v>5.3</v>
      </c>
      <c r="B110" t="n">
        <v>0.00702</v>
      </c>
      <c r="C110" t="n">
        <v>0.008189999999999999</v>
      </c>
    </row>
    <row r="111">
      <c r="A111" t="n">
        <v>5.35</v>
      </c>
      <c r="B111" t="n">
        <v>0.00689</v>
      </c>
      <c r="C111" t="n">
        <v>0.00804</v>
      </c>
    </row>
    <row r="112">
      <c r="A112" t="n">
        <v>5.4</v>
      </c>
      <c r="B112" t="n">
        <v>0.00677</v>
      </c>
      <c r="C112" t="n">
        <v>0.007889999999999999</v>
      </c>
    </row>
    <row r="113">
      <c r="A113" t="n">
        <v>5.45</v>
      </c>
      <c r="B113" t="n">
        <v>0.00664</v>
      </c>
      <c r="C113" t="n">
        <v>0.00775</v>
      </c>
    </row>
    <row r="114">
      <c r="A114" t="n">
        <v>5.5</v>
      </c>
      <c r="B114" t="n">
        <v>0.00652</v>
      </c>
      <c r="C114" t="n">
        <v>0.00761</v>
      </c>
    </row>
    <row r="115">
      <c r="A115" t="n">
        <v>5.55</v>
      </c>
      <c r="B115" t="n">
        <v>0.00641</v>
      </c>
      <c r="C115" t="n">
        <v>0.00747</v>
      </c>
    </row>
    <row r="116">
      <c r="A116" t="n">
        <v>5.6</v>
      </c>
      <c r="B116" t="n">
        <v>0.00629</v>
      </c>
      <c r="C116" t="n">
        <v>0.00734</v>
      </c>
    </row>
    <row r="117">
      <c r="A117" t="n">
        <v>5.65</v>
      </c>
      <c r="B117" t="n">
        <v>0.00618</v>
      </c>
      <c r="C117" t="n">
        <v>0.00721</v>
      </c>
    </row>
    <row r="118">
      <c r="A118" t="n">
        <v>5.7</v>
      </c>
      <c r="B118" t="n">
        <v>0.00607</v>
      </c>
      <c r="C118" t="n">
        <v>0.00708</v>
      </c>
    </row>
    <row r="119">
      <c r="A119" t="n">
        <v>5.75</v>
      </c>
      <c r="B119" t="n">
        <v>0.00597</v>
      </c>
      <c r="C119" t="n">
        <v>0.00696</v>
      </c>
    </row>
    <row r="120">
      <c r="A120" t="n">
        <v>5.8</v>
      </c>
      <c r="B120" t="n">
        <v>0.00587</v>
      </c>
      <c r="C120" t="n">
        <v>0.00684</v>
      </c>
    </row>
    <row r="121">
      <c r="A121" t="n">
        <v>5.85</v>
      </c>
      <c r="B121" t="n">
        <v>0.00577</v>
      </c>
      <c r="C121" t="n">
        <v>0.00673</v>
      </c>
    </row>
    <row r="122">
      <c r="A122" t="n">
        <v>5.9</v>
      </c>
      <c r="B122" t="n">
        <v>0.00567</v>
      </c>
      <c r="C122" t="n">
        <v>0.00661</v>
      </c>
    </row>
    <row r="123">
      <c r="A123" t="n">
        <v>5.95</v>
      </c>
      <c r="B123" t="n">
        <v>0.00557</v>
      </c>
      <c r="C123" t="n">
        <v>0.0065</v>
      </c>
    </row>
    <row r="124">
      <c r="A124" t="n">
        <v>6</v>
      </c>
      <c r="B124" t="n">
        <v>0.00548</v>
      </c>
      <c r="C124" t="n">
        <v>0.00639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t="inlineStr">
        <is>
          <t>E.060 art. 9.2 — combinaciones para ETABS/SAP2000 (crear con csi_crear_combinaciones_e060)</t>
        </is>
      </c>
    </row>
    <row r="2">
      <c r="A2" s="2" t="inlineStr">
        <is>
          <t>Nombre</t>
        </is>
      </c>
      <c r="B2" s="2" t="inlineStr">
        <is>
          <t>Tipo</t>
        </is>
      </c>
      <c r="C2" s="2" t="inlineStr">
        <is>
          <t>Casos / combinaciones</t>
        </is>
      </c>
    </row>
    <row r="3">
      <c r="A3" t="inlineStr">
        <is>
          <t>U1</t>
        </is>
      </c>
      <c r="B3" t="inlineStr">
        <is>
          <t>suma lineal</t>
        </is>
      </c>
      <c r="C3" t="inlineStr">
        <is>
          <t>Dead×1.4, SCP×1.4, Live×1.7, LiveTecho×1.7</t>
        </is>
      </c>
    </row>
    <row r="4">
      <c r="A4" t="inlineStr">
        <is>
          <t>U2_SX</t>
        </is>
      </c>
      <c r="B4" t="inlineStr">
        <is>
          <t>suma lineal</t>
        </is>
      </c>
      <c r="C4" t="inlineStr">
        <is>
          <t>Dead×1.25, SCP×1.25, Live×1.25, LiveTecho×1.25, SX×1</t>
        </is>
      </c>
    </row>
    <row r="5">
      <c r="A5" t="inlineStr">
        <is>
          <t>U3_SX</t>
        </is>
      </c>
      <c r="B5" t="inlineStr">
        <is>
          <t>suma lineal</t>
        </is>
      </c>
      <c r="C5" t="inlineStr">
        <is>
          <t>Dead×0.9, SCP×0.9, SX×1</t>
        </is>
      </c>
    </row>
    <row r="6">
      <c r="A6" t="inlineStr">
        <is>
          <t>U2_SY</t>
        </is>
      </c>
      <c r="B6" t="inlineStr">
        <is>
          <t>suma lineal</t>
        </is>
      </c>
      <c r="C6" t="inlineStr">
        <is>
          <t>Dead×1.25, SCP×1.25, Live×1.25, LiveTecho×1.25, SY×1</t>
        </is>
      </c>
    </row>
    <row r="7">
      <c r="A7" t="inlineStr">
        <is>
          <t>U3_SY</t>
        </is>
      </c>
      <c r="B7" t="inlineStr">
        <is>
          <t>suma lineal</t>
        </is>
      </c>
      <c r="C7" t="inlineStr">
        <is>
          <t>Dead×0.9, SCP×0.9, SY×1</t>
        </is>
      </c>
    </row>
    <row r="8">
      <c r="A8" t="inlineStr">
        <is>
          <t>ENV_E060</t>
        </is>
      </c>
      <c r="B8" t="inlineStr">
        <is>
          <t>envolvente</t>
        </is>
      </c>
      <c r="C8" t="inlineStr">
        <is>
          <t>U1, U2_SX, U3_SX, U2_SY, U3_SY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f'c = 21 MPa · fy = 420 MPa</t>
        </is>
      </c>
    </row>
    <row r="2">
      <c r="A2" s="2" t="inlineStr">
        <is>
          <t>Viga</t>
        </is>
      </c>
      <c r="B2" s="2" t="inlineStr">
        <is>
          <t>b×h (mm)</t>
        </is>
      </c>
      <c r="C2" s="2" t="inlineStr">
        <is>
          <t>Mu (kN·m)</t>
        </is>
      </c>
      <c r="D2" s="2" t="inlineStr">
        <is>
          <t>d (mm)</t>
        </is>
      </c>
      <c r="E2" s="2" t="inlineStr">
        <is>
          <t>As req (mm²)</t>
        </is>
      </c>
      <c r="F2" s="2" t="inlineStr">
        <is>
          <t>As mín</t>
        </is>
      </c>
      <c r="G2" s="2" t="inlineStr">
        <is>
          <t>As máx</t>
        </is>
      </c>
      <c r="H2" s="2" t="inlineStr">
        <is>
          <t>As diseño</t>
        </is>
      </c>
      <c r="I2" s="2" t="inlineStr">
        <is>
          <t>Barras</t>
        </is>
      </c>
      <c r="J2" s="2" t="inlineStr">
        <is>
          <t>φMn (kN·m)</t>
        </is>
      </c>
      <c r="K2" s="2" t="inlineStr">
        <is>
          <t>Vu (kN)</t>
        </is>
      </c>
      <c r="L2" s="2" t="inlineStr">
        <is>
          <t>φVc (kN)</t>
        </is>
      </c>
      <c r="M2" s="2" t="inlineStr">
        <is>
          <t>Estribos</t>
        </is>
      </c>
      <c r="N2" s="2" t="inlineStr">
        <is>
          <t>Observación</t>
        </is>
      </c>
    </row>
    <row r="3">
      <c r="A3" t="inlineStr">
        <is>
          <t>V-101 (eje A, tramo 1-2)</t>
        </is>
      </c>
      <c r="B3" t="inlineStr">
        <is>
          <t>250×500</t>
        </is>
      </c>
      <c r="C3" t="n">
        <v>95</v>
      </c>
      <c r="D3" t="n">
        <v>442.6</v>
      </c>
      <c r="E3" t="n">
        <v>607.1</v>
      </c>
      <c r="F3" t="n">
        <v>265.6</v>
      </c>
      <c r="G3" t="n">
        <v>1763.3</v>
      </c>
      <c r="H3" t="n">
        <v>607.1</v>
      </c>
      <c r="I3" t="inlineStr">
        <is>
          <t>4 Ø 5/8</t>
        </is>
      </c>
      <c r="J3" t="n">
        <v>95</v>
      </c>
      <c r="K3" t="n">
        <v>110</v>
      </c>
      <c r="L3" t="n">
        <v>73.27</v>
      </c>
      <c r="M3" t="inlineStr">
        <is>
          <t>Ø 3/8 (2 ramas) @ 200 mm</t>
        </is>
      </c>
      <c r="N3" t="inlineStr"/>
    </row>
    <row r="4">
      <c r="A4" t="inlineStr">
        <is>
          <t>V-102 (eje B, tramo 2-3)</t>
        </is>
      </c>
      <c r="B4" t="inlineStr">
        <is>
          <t>300×600</t>
        </is>
      </c>
      <c r="C4" t="n">
        <v>180</v>
      </c>
      <c r="D4" t="n">
        <v>542.5</v>
      </c>
      <c r="E4" t="n">
        <v>941.8</v>
      </c>
      <c r="F4" t="n">
        <v>390.7</v>
      </c>
      <c r="G4" t="n">
        <v>2594.1</v>
      </c>
      <c r="H4" t="n">
        <v>941.8</v>
      </c>
      <c r="I4" t="inlineStr">
        <is>
          <t>5 Ø 5/8</t>
        </is>
      </c>
      <c r="J4" t="n">
        <v>180</v>
      </c>
      <c r="K4" t="n">
        <v>160</v>
      </c>
      <c r="L4" t="n">
        <v>107.77</v>
      </c>
      <c r="M4" t="inlineStr">
        <is>
          <t>Ø 3/8 (2 ramas) @ 250 mm</t>
        </is>
      </c>
      <c r="N4" t="inlineStr"/>
    </row>
    <row r="5">
      <c r="A5" t="inlineStr">
        <is>
          <t>VCH-01 (chata)</t>
        </is>
      </c>
      <c r="B5" t="inlineStr">
        <is>
          <t>200×200</t>
        </is>
      </c>
      <c r="C5" t="n">
        <v>6</v>
      </c>
      <c r="D5" t="n">
        <v>142.6</v>
      </c>
      <c r="E5" t="n">
        <v>117</v>
      </c>
      <c r="F5" t="n">
        <v>68.40000000000001</v>
      </c>
      <c r="G5" t="n">
        <v>454.4</v>
      </c>
      <c r="H5" t="n">
        <v>117</v>
      </c>
      <c r="I5" t="inlineStr">
        <is>
          <t>2 Ø 12mm</t>
        </is>
      </c>
      <c r="J5" t="n">
        <v>6</v>
      </c>
      <c r="K5" t="n">
        <v>12</v>
      </c>
      <c r="L5" t="n">
        <v>18.89</v>
      </c>
      <c r="M5" t="inlineStr">
        <is>
          <t>no requiere por cálculo (11.5.6.1); estribos de montaje a criterio</t>
        </is>
      </c>
      <c r="N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Columna</t>
        </is>
      </c>
      <c r="B1" s="2" t="inlineStr">
        <is>
          <t>b×h (mm)</t>
        </is>
      </c>
      <c r="C1" s="2" t="inlineStr">
        <is>
          <t>Refuerzo</t>
        </is>
      </c>
      <c r="D1" s="2" t="inlineStr">
        <is>
          <t>As (mm²)</t>
        </is>
      </c>
      <c r="E1" s="2" t="inlineStr">
        <is>
          <t>Cuantía</t>
        </is>
      </c>
      <c r="F1" s="2" t="inlineStr">
        <is>
          <t>Pu (kN)</t>
        </is>
      </c>
      <c r="G1" s="2" t="inlineStr">
        <is>
          <t>φPn máx (kN)</t>
        </is>
      </c>
      <c r="H1" s="2" t="inlineStr">
        <is>
          <t>Uso %</t>
        </is>
      </c>
      <c r="I1" s="2" t="inlineStr">
        <is>
          <t>Cumple</t>
        </is>
      </c>
    </row>
    <row r="2">
      <c r="A2" t="inlineStr">
        <is>
          <t>C-1 (esquina)</t>
        </is>
      </c>
      <c r="B2" t="inlineStr">
        <is>
          <t>400×400</t>
        </is>
      </c>
      <c r="C2" t="inlineStr">
        <is>
          <t>8 Ø 3/4</t>
        </is>
      </c>
      <c r="D2" t="n">
        <v>2272</v>
      </c>
      <c r="E2" t="n">
        <v>0.0142</v>
      </c>
      <c r="F2" t="n">
        <v>1400</v>
      </c>
      <c r="G2" t="n">
        <v>2111</v>
      </c>
      <c r="H2" t="n">
        <v>66.3</v>
      </c>
      <c r="I2" t="inlineStr">
        <is>
          <t>sí</t>
        </is>
      </c>
    </row>
    <row r="3">
      <c r="A3" t="inlineStr">
        <is>
          <t>C-2 (central)</t>
        </is>
      </c>
      <c r="B3" t="inlineStr">
        <is>
          <t>300×600</t>
        </is>
      </c>
      <c r="C3" t="inlineStr">
        <is>
          <t>10 Ø 5/8</t>
        </is>
      </c>
      <c r="D3" t="n">
        <v>1990</v>
      </c>
      <c r="E3" t="n">
        <v>0.0111</v>
      </c>
      <c r="F3" t="n">
        <v>1800</v>
      </c>
      <c r="G3" t="n">
        <v>2247.4</v>
      </c>
      <c r="H3" t="n">
        <v>80.09999999999999</v>
      </c>
      <c r="I3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2026-09-25T03:44:33Z</dcterms:created>
  <dcterms:modified xsi:type="dcterms:W3CDTF">2026-09-25T03:44:33Z</dcterms:modified>
</cp:coreProperties>
</file>